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3520" tabRatio="600" firstSheet="0" activeTab="0" autoFilterDateGrouping="1"/>
  </bookViews>
  <sheets>
    <sheet name="Blank Cycle Census" sheetId="1" state="visible" r:id="rId1"/>
    <sheet name="Blank Cycle Bag Count" sheetId="2" state="visible" r:id="rId2"/>
  </sheets>
  <definedNames>
    <definedName name="_xlnm.Print_Area" localSheetId="0">'Blank Cycle Census'!$A$2:$T$37</definedName>
    <definedName name="_xlnm.Print_Area" localSheetId="1">'Blank Cycle Bag Count'!$A$2:$T$37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wrapText="1"/>
    </xf>
    <xf numFmtId="0" fontId="2" fillId="0" borderId="3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wrapText="1"/>
    </xf>
    <xf numFmtId="0" fontId="2" fillId="0" borderId="6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2" borderId="7" pivotButton="0" quotePrefix="0" xfId="0"/>
    <xf numFmtId="0" fontId="0" fillId="2" borderId="8" pivotButton="0" quotePrefix="0" xfId="0"/>
    <xf numFmtId="0" fontId="0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19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1" fillId="2" borderId="7" pivotButton="0" quotePrefix="0" xfId="0"/>
    <xf numFmtId="0" fontId="0" fillId="0" borderId="23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19" pivotButton="0" quotePrefix="0" xfId="0"/>
    <xf numFmtId="0" fontId="0" fillId="0" borderId="31" pivotButton="0" quotePrefix="0" xfId="0"/>
    <xf numFmtId="0" fontId="0" fillId="0" borderId="25" pivotButton="0" quotePrefix="0" xfId="0"/>
    <xf numFmtId="0" fontId="0" fillId="0" borderId="22" applyAlignment="1" pivotButton="0" quotePrefix="0" xfId="0">
      <alignment horizontal="center" vertical="center"/>
    </xf>
    <xf numFmtId="0" fontId="0" fillId="0" borderId="16" pivotButton="0" quotePrefix="0" xfId="0"/>
    <xf numFmtId="0" fontId="2" fillId="0" borderId="26" applyAlignment="1" pivotButton="0" quotePrefix="0" xfId="0">
      <alignment horizontal="center" wrapText="1"/>
    </xf>
    <xf numFmtId="0" fontId="0" fillId="0" borderId="5" pivotButton="0" quotePrefix="0" xfId="0"/>
    <xf numFmtId="0" fontId="2" fillId="0" borderId="27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40"/>
  <sheetViews>
    <sheetView tabSelected="1" workbookViewId="0">
      <selection activeCell="Y39" sqref="Y39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inlineStr">
        <is>
          <t>03/30</t>
        </is>
      </c>
      <c r="D2" s="35" t="n"/>
      <c r="F2" s="35" t="inlineStr">
        <is>
          <t>Tuesday</t>
        </is>
      </c>
      <c r="G2" s="35" t="inlineStr">
        <is>
          <t>03/31</t>
        </is>
      </c>
      <c r="H2" s="35" t="n"/>
      <c r="J2" s="35" t="inlineStr">
        <is>
          <t>Wednesday</t>
        </is>
      </c>
      <c r="K2" s="34" t="inlineStr">
        <is>
          <t>04/01</t>
        </is>
      </c>
      <c r="L2" s="35" t="n"/>
      <c r="M2" s="36" t="n"/>
      <c r="N2" s="35" t="inlineStr">
        <is>
          <t>Thursday</t>
        </is>
      </c>
      <c r="O2" s="34" t="inlineStr">
        <is>
          <t>04/02</t>
        </is>
      </c>
      <c r="P2" s="35" t="n"/>
      <c r="R2" s="35" t="inlineStr">
        <is>
          <t>Friday</t>
        </is>
      </c>
      <c r="S2" s="34" t="inlineStr">
        <is>
          <t>04/03</t>
        </is>
      </c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Census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Census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Census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Census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Census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>
        <v>16</v>
      </c>
      <c r="F4" s="18" t="inlineStr">
        <is>
          <t>Westwood</t>
        </is>
      </c>
      <c r="G4" s="17" t="inlineStr">
        <is>
          <t>A Wing</t>
        </is>
      </c>
      <c r="H4" s="16" t="n">
        <v>41</v>
      </c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>
        <v>14</v>
      </c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>
        <v>25</v>
      </c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>
        <v>22</v>
      </c>
      <c r="F6" s="37" t="n"/>
      <c r="G6" s="14" t="inlineStr">
        <is>
          <t>C Wing</t>
        </is>
      </c>
      <c r="H6" s="13" t="n">
        <v>11</v>
      </c>
      <c r="J6" s="18" t="inlineStr">
        <is>
          <t>Salem</t>
        </is>
      </c>
      <c r="K6" s="17" t="n">
        <v>1</v>
      </c>
      <c r="L6" s="16" t="n">
        <v>40</v>
      </c>
      <c r="N6" s="37" t="n"/>
      <c r="O6" s="31" t="n">
        <v>2</v>
      </c>
      <c r="P6" s="13" t="n">
        <v>31</v>
      </c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>
        <v>22</v>
      </c>
      <c r="F7" s="39" t="n"/>
      <c r="G7" s="11" t="n"/>
      <c r="H7" s="10">
        <f>SUM(H4:H6)</f>
        <v/>
      </c>
      <c r="J7" s="37" t="n"/>
      <c r="K7" s="14" t="n">
        <v>2</v>
      </c>
      <c r="L7" s="13" t="n"/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/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>
        <v>6</v>
      </c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>
        <v>48</v>
      </c>
      <c r="F10" s="41" t="n"/>
      <c r="G10" s="11" t="n"/>
      <c r="H10" s="10">
        <f>SUM(H9)</f>
        <v/>
      </c>
      <c r="J10" s="39" t="n"/>
      <c r="K10" s="11" t="n"/>
      <c r="L10" s="29" t="n">
        <v>16</v>
      </c>
      <c r="N10" s="28" t="inlineStr">
        <is>
          <t>Seville</t>
        </is>
      </c>
      <c r="O10" s="27" t="n"/>
      <c r="P10" s="26" t="n">
        <v>41</v>
      </c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/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>
        <v>36</v>
      </c>
      <c r="J12" s="18" t="inlineStr">
        <is>
          <t>Baisch SNF</t>
        </is>
      </c>
      <c r="K12" s="17" t="n">
        <v>1</v>
      </c>
      <c r="L12" s="16" t="n">
        <v>33</v>
      </c>
      <c r="N12" s="18" t="inlineStr">
        <is>
          <t xml:space="preserve">St Johns </t>
        </is>
      </c>
      <c r="O12" s="17" t="n">
        <v>1</v>
      </c>
      <c r="P12" s="16" t="n">
        <v>58</v>
      </c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>
        <v>17</v>
      </c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>
        <v>34</v>
      </c>
      <c r="F14" s="18" t="inlineStr">
        <is>
          <t>Creve Coeur</t>
        </is>
      </c>
      <c r="G14" s="17" t="n">
        <v>1</v>
      </c>
      <c r="H14" s="16" t="n">
        <v>42</v>
      </c>
      <c r="J14" s="37" t="n"/>
      <c r="K14" s="33" t="inlineStr">
        <is>
          <t>RCF</t>
        </is>
      </c>
      <c r="L14" s="13" t="n">
        <v>15</v>
      </c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>
        <v>26</v>
      </c>
      <c r="F15" s="37" t="n"/>
      <c r="G15" s="14" t="n">
        <v>2</v>
      </c>
      <c r="H15" s="13" t="n">
        <v>34</v>
      </c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>
        <v>20</v>
      </c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>
        <v>79</v>
      </c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>
        <v>63</v>
      </c>
      <c r="N17" s="37" t="n"/>
      <c r="O17" s="14" t="n">
        <v>2</v>
      </c>
      <c r="P17" s="13" t="n"/>
    </row>
    <row r="18" ht="15.75" customHeight="1" thickBot="1">
      <c r="F18" s="36" t="inlineStr">
        <is>
          <t>Daily Total Census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>
        <v>20</v>
      </c>
      <c r="J19" s="37" t="n"/>
      <c r="K19" s="31" t="n">
        <v>2</v>
      </c>
      <c r="L19" s="13" t="n"/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>
        <v>14</v>
      </c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/>
    <row r="23" ht="15.75" customHeight="1" thickBot="1">
      <c r="B23" s="21" t="inlineStr">
        <is>
          <t>Superior Manor</t>
        </is>
      </c>
      <c r="C23" s="17" t="inlineStr">
        <is>
          <t>Hall 100</t>
        </is>
      </c>
      <c r="D23" s="16" t="n">
        <v>46</v>
      </c>
      <c r="J23" s="28" t="inlineStr">
        <is>
          <t>Legacy</t>
        </is>
      </c>
      <c r="K23" s="27" t="n"/>
      <c r="L23" s="26" t="n"/>
      <c r="N23" s="18" t="inlineStr">
        <is>
          <t>Bentley's</t>
        </is>
      </c>
      <c r="O23" s="17" t="inlineStr">
        <is>
          <t>1</t>
        </is>
      </c>
      <c r="P23" s="16" t="n">
        <v>44</v>
      </c>
      <c r="R23" s="18" t="inlineStr">
        <is>
          <t>Oakdale RCF</t>
        </is>
      </c>
      <c r="S23" s="17" t="n">
        <v>1</v>
      </c>
      <c r="T23" s="16" t="n"/>
    </row>
    <row r="24" ht="15.75" customHeight="1" thickBot="1">
      <c r="B24" s="37" t="n"/>
      <c r="C24" s="14" t="inlineStr">
        <is>
          <t>Hall 200</t>
        </is>
      </c>
      <c r="D24" s="13" t="n"/>
      <c r="N24" s="39" t="n"/>
      <c r="O24" s="11" t="n"/>
      <c r="P24" s="10">
        <f>P23</f>
        <v/>
      </c>
      <c r="R24" s="37" t="n"/>
      <c r="S24" s="14" t="n">
        <v>2</v>
      </c>
      <c r="T24" s="13" t="n"/>
    </row>
    <row r="25" ht="15.75" customHeight="1" thickBot="1">
      <c r="B25" s="37" t="n"/>
      <c r="C25" s="14" t="inlineStr">
        <is>
          <t>Hall 300</t>
        </is>
      </c>
      <c r="D25" s="13" t="n"/>
      <c r="J25" s="40" t="inlineStr">
        <is>
          <t>John Knox</t>
        </is>
      </c>
      <c r="K25" s="17" t="inlineStr">
        <is>
          <t>CSL</t>
        </is>
      </c>
      <c r="L25" s="16" t="n">
        <v>34</v>
      </c>
      <c r="R25" s="39" t="n"/>
      <c r="S25" s="11" t="n"/>
      <c r="T25" s="10">
        <f>SUM(T23:T24)</f>
        <v/>
      </c>
    </row>
    <row r="26">
      <c r="B26" s="37" t="n"/>
      <c r="C26" s="14" t="inlineStr">
        <is>
          <t>Hall 400</t>
        </is>
      </c>
      <c r="D26" s="13" t="n"/>
      <c r="J26" s="37" t="n"/>
      <c r="K26" s="14" t="inlineStr">
        <is>
          <t>MM</t>
        </is>
      </c>
      <c r="L26" s="13" t="n">
        <v>11</v>
      </c>
      <c r="N26" s="36" t="inlineStr">
        <is>
          <t>Daily Total Census</t>
        </is>
      </c>
      <c r="P26">
        <f>SUM(P8,P10,P14,P21,P24)</f>
        <v/>
      </c>
    </row>
    <row r="27" ht="15.75" customHeight="1" thickBot="1">
      <c r="B27" s="39" t="n"/>
      <c r="C27" s="11" t="n"/>
      <c r="D27" s="29">
        <f>SUM(D23:D26)</f>
        <v/>
      </c>
      <c r="J27" s="37" t="n"/>
      <c r="K27" s="14" t="inlineStr">
        <is>
          <t>ALF</t>
        </is>
      </c>
      <c r="L27" s="13" t="n">
        <v>24</v>
      </c>
      <c r="R27" s="36" t="inlineStr">
        <is>
          <t>Daily Total Census</t>
        </is>
      </c>
      <c r="T27">
        <f>SUM(T4,T10,T16,T21,T25)</f>
        <v/>
      </c>
    </row>
    <row r="28" ht="15.75" customHeight="1" thickBot="1">
      <c r="J28" s="37" t="n"/>
      <c r="K28" s="24" t="inlineStr">
        <is>
          <t>ILF 1</t>
        </is>
      </c>
      <c r="L28" s="23" t="n">
        <v>2</v>
      </c>
    </row>
    <row r="29" ht="15.75" customHeight="1" thickBot="1">
      <c r="B29" s="28" t="inlineStr">
        <is>
          <t>Walnut</t>
        </is>
      </c>
      <c r="C29" s="27" t="n"/>
      <c r="D29" s="26" t="n">
        <v>19</v>
      </c>
      <c r="J29" s="37" t="n"/>
      <c r="K29" s="24" t="inlineStr">
        <is>
          <t>ILF 2</t>
        </is>
      </c>
      <c r="L29" s="23" t="n"/>
    </row>
    <row r="30" ht="15.75" customHeight="1" thickBot="1">
      <c r="J30" s="41" t="n"/>
      <c r="K30" s="11" t="n"/>
      <c r="L30" s="10">
        <f>SUM(L25:L29)</f>
        <v/>
      </c>
    </row>
    <row r="31" ht="15" customHeight="1">
      <c r="B31" s="21" t="inlineStr">
        <is>
          <t>Colonial Doniphan</t>
        </is>
      </c>
      <c r="C31" s="17" t="inlineStr">
        <is>
          <t>Upstairs</t>
        </is>
      </c>
      <c r="D31" s="16" t="n">
        <v>23</v>
      </c>
    </row>
    <row r="32" ht="15" customHeight="1">
      <c r="B32" s="37" t="n"/>
      <c r="C32" s="14" t="inlineStr">
        <is>
          <t>Down</t>
        </is>
      </c>
      <c r="D32" s="13" t="n"/>
      <c r="J32" s="36" t="inlineStr">
        <is>
          <t>Daily Total Census</t>
        </is>
      </c>
      <c r="L32">
        <f>SUM(L4,L10,L15,L21,L23,L30)</f>
        <v/>
      </c>
    </row>
    <row r="33" ht="15" customHeight="1" thickBot="1">
      <c r="B33" s="39" t="n"/>
      <c r="C33" s="11" t="n"/>
      <c r="D33" s="10">
        <f>SUM(D31:D32)</f>
        <v/>
      </c>
    </row>
    <row r="34" ht="15.75" customHeight="1" thickBot="1"/>
    <row r="35" ht="15" customHeight="1">
      <c r="B35" s="18" t="inlineStr">
        <is>
          <t>New Hope</t>
        </is>
      </c>
      <c r="C35" s="17" t="inlineStr">
        <is>
          <t>ALF</t>
        </is>
      </c>
      <c r="D35" s="16" t="n">
        <v>10</v>
      </c>
    </row>
    <row r="36" ht="15.75" customHeight="1">
      <c r="B36" s="37" t="n"/>
      <c r="C36" s="14" t="inlineStr">
        <is>
          <t>ILF</t>
        </is>
      </c>
      <c r="D36" s="13" t="n"/>
    </row>
    <row r="37" ht="15.75" customHeight="1" thickBot="1">
      <c r="B37" s="39" t="n"/>
      <c r="C37" s="11" t="n"/>
      <c r="D37" s="10">
        <f>SUM(D35:D36)</f>
        <v/>
      </c>
    </row>
    <row r="38" ht="15.75" customHeight="1" thickBot="1"/>
    <row r="39" ht="21.75" customHeight="1">
      <c r="B39" s="36" t="inlineStr">
        <is>
          <t>Daily Total Census</t>
        </is>
      </c>
      <c r="D39">
        <f>SUM(D8,D12,D17,D21,D27,D29,D33,D37)</f>
        <v/>
      </c>
      <c r="J39" s="42" t="inlineStr">
        <is>
          <t>Weekly Census Count</t>
        </is>
      </c>
      <c r="K39" s="43" t="n"/>
      <c r="L39" s="44">
        <f>SUM(D39,H18,L32,P23,T27)</f>
        <v/>
      </c>
      <c r="M39" s="43" t="n"/>
      <c r="N39" s="43" t="n"/>
      <c r="O39" s="45" t="n"/>
    </row>
    <row r="40" ht="21" customHeight="1" thickBot="1">
      <c r="J40" s="46" t="n"/>
      <c r="K40" s="35" t="n"/>
      <c r="L40" s="35" t="n"/>
      <c r="M40" s="35" t="n"/>
      <c r="N40" s="35" t="n"/>
      <c r="O40" s="47" t="n"/>
    </row>
  </sheetData>
  <mergeCells count="40">
    <mergeCell ref="R12:R16"/>
    <mergeCell ref="F4:F7"/>
    <mergeCell ref="C4:C5"/>
    <mergeCell ref="S14:S15"/>
    <mergeCell ref="S8:S9"/>
    <mergeCell ref="N16:N21"/>
    <mergeCell ref="O4:O5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S6:S7"/>
    <mergeCell ref="L39:O40"/>
    <mergeCell ref="R23:R25"/>
    <mergeCell ref="J17:J21"/>
    <mergeCell ref="B31:B33"/>
    <mergeCell ref="F9:F10"/>
    <mergeCell ref="K17:K18"/>
    <mergeCell ref="C2:D2"/>
    <mergeCell ref="N4:N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T40"/>
  <sheetViews>
    <sheetView workbookViewId="0">
      <selection activeCell="R27" sqref="R27:S27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inlineStr">
        <is>
          <t>03/30</t>
        </is>
      </c>
      <c r="D2" s="35" t="n"/>
      <c r="F2" s="35" t="inlineStr">
        <is>
          <t>Tuesday</t>
        </is>
      </c>
      <c r="G2" s="35" t="inlineStr">
        <is>
          <t>03/31</t>
        </is>
      </c>
      <c r="H2" s="35" t="n"/>
      <c r="J2" s="35" t="inlineStr">
        <is>
          <t>Wednesday</t>
        </is>
      </c>
      <c r="K2" s="34" t="inlineStr">
        <is>
          <t>04/01</t>
        </is>
      </c>
      <c r="L2" s="35" t="n"/>
      <c r="M2" s="36" t="n"/>
      <c r="N2" s="35" t="inlineStr">
        <is>
          <t>Thursday</t>
        </is>
      </c>
      <c r="O2" s="34" t="inlineStr">
        <is>
          <t>04/02</t>
        </is>
      </c>
      <c r="P2" s="35" t="n"/>
      <c r="R2" s="35" t="inlineStr">
        <is>
          <t>Friday</t>
        </is>
      </c>
      <c r="S2" s="34" t="inlineStr">
        <is>
          <t>04/03</t>
        </is>
      </c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Bag Total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Bag Total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Bag Total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Bag Total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Bag Total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>
        <v>711</v>
      </c>
      <c r="F4" s="18" t="inlineStr">
        <is>
          <t>Westwood</t>
        </is>
      </c>
      <c r="G4" s="17" t="inlineStr">
        <is>
          <t>A Wing</t>
        </is>
      </c>
      <c r="H4" s="16" t="n">
        <v>1334</v>
      </c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/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>
        <v>736</v>
      </c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>
        <v>916</v>
      </c>
      <c r="F6" s="37" t="n"/>
      <c r="G6" s="14" t="inlineStr">
        <is>
          <t>C Wing</t>
        </is>
      </c>
      <c r="H6" s="13" t="n">
        <v>266</v>
      </c>
      <c r="J6" s="18" t="inlineStr">
        <is>
          <t>Salem</t>
        </is>
      </c>
      <c r="K6" s="17" t="n">
        <v>1</v>
      </c>
      <c r="L6" s="16" t="n">
        <v>422</v>
      </c>
      <c r="N6" s="37" t="n"/>
      <c r="O6" s="31" t="n">
        <v>2</v>
      </c>
      <c r="P6" s="13" t="n"/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>
        <v>696</v>
      </c>
      <c r="F7" s="39" t="n"/>
      <c r="G7" s="11" t="n"/>
      <c r="H7" s="10">
        <f>SUM(H4:H6)</f>
        <v/>
      </c>
      <c r="J7" s="37" t="n"/>
      <c r="K7" s="14" t="n">
        <v>2</v>
      </c>
      <c r="L7" s="13" t="n">
        <v>541</v>
      </c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>
        <v>716</v>
      </c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>
        <v>184</v>
      </c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>
        <v>1420</v>
      </c>
      <c r="F10" s="41" t="n"/>
      <c r="G10" s="11" t="n"/>
      <c r="H10" s="10">
        <f>SUM(H9)</f>
        <v/>
      </c>
      <c r="J10" s="39" t="n"/>
      <c r="K10" s="11" t="n"/>
      <c r="L10" s="29" t="n">
        <v>503</v>
      </c>
      <c r="N10" s="28" t="inlineStr">
        <is>
          <t>Seville</t>
        </is>
      </c>
      <c r="O10" s="27" t="n"/>
      <c r="P10" s="26" t="n"/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>
        <v>236</v>
      </c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>
        <v>1718</v>
      </c>
      <c r="J12" s="18" t="inlineStr">
        <is>
          <t>Baisch SNF</t>
        </is>
      </c>
      <c r="K12" s="17" t="n">
        <v>1</v>
      </c>
      <c r="L12" s="16" t="n">
        <v>979</v>
      </c>
      <c r="N12" s="18" t="inlineStr">
        <is>
          <t xml:space="preserve">St Johns </t>
        </is>
      </c>
      <c r="O12" s="17" t="n">
        <v>1</v>
      </c>
      <c r="P12" s="16" t="n"/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>
        <v>592</v>
      </c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>
        <v>1138</v>
      </c>
      <c r="F14" s="18" t="inlineStr">
        <is>
          <t>Creve Coeur</t>
        </is>
      </c>
      <c r="G14" s="17" t="n">
        <v>1</v>
      </c>
      <c r="H14" s="16" t="n">
        <v>1359</v>
      </c>
      <c r="J14" s="37" t="n"/>
      <c r="K14" s="33" t="inlineStr">
        <is>
          <t>RCF</t>
        </is>
      </c>
      <c r="L14" s="13" t="n">
        <v>462</v>
      </c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>
        <v>960</v>
      </c>
      <c r="F15" s="37" t="n"/>
      <c r="G15" s="14" t="n">
        <v>2</v>
      </c>
      <c r="H15" s="13" t="n">
        <v>1174</v>
      </c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>
        <v>756</v>
      </c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/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>
        <v>725</v>
      </c>
      <c r="N17" s="37" t="n"/>
      <c r="O17" s="14" t="n">
        <v>2</v>
      </c>
      <c r="P17" s="13" t="n"/>
    </row>
    <row r="18" ht="15.75" customHeight="1" thickBot="1">
      <c r="F18" s="36" t="inlineStr">
        <is>
          <t>Daily Total Bags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>
        <v>837</v>
      </c>
      <c r="J19" s="37" t="n"/>
      <c r="K19" s="31" t="n">
        <v>2</v>
      </c>
      <c r="L19" s="13" t="n">
        <v>686</v>
      </c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>
        <v>618</v>
      </c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/>
    <row r="23" ht="15.75" customHeight="1" thickBot="1">
      <c r="B23" s="21" t="inlineStr">
        <is>
          <t>Superior Manor</t>
        </is>
      </c>
      <c r="C23" s="17" t="inlineStr">
        <is>
          <t>Hall 100</t>
        </is>
      </c>
      <c r="D23" s="16" t="n">
        <v>582</v>
      </c>
      <c r="J23" s="28" t="inlineStr">
        <is>
          <t>Legacy</t>
        </is>
      </c>
      <c r="K23" s="27" t="n"/>
      <c r="L23" s="26" t="n"/>
      <c r="N23" s="18" t="inlineStr">
        <is>
          <t>Bentley's</t>
        </is>
      </c>
      <c r="O23" s="17" t="inlineStr">
        <is>
          <t>1</t>
        </is>
      </c>
      <c r="P23" s="16" t="n"/>
      <c r="R23" s="18" t="inlineStr">
        <is>
          <t>Oakdale RCF</t>
        </is>
      </c>
      <c r="S23" s="17" t="n">
        <v>1</v>
      </c>
      <c r="T23" s="16" t="n"/>
    </row>
    <row r="24" ht="15.75" customHeight="1" thickBot="1">
      <c r="B24" s="37" t="n"/>
      <c r="C24" s="14" t="inlineStr">
        <is>
          <t>Hall 200</t>
        </is>
      </c>
      <c r="D24" s="13" t="n">
        <v>208</v>
      </c>
      <c r="N24" s="39" t="n"/>
      <c r="O24" s="11" t="n"/>
      <c r="P24" s="10">
        <f>P23</f>
        <v/>
      </c>
      <c r="R24" s="37" t="n"/>
      <c r="S24" s="14" t="n">
        <v>2</v>
      </c>
      <c r="T24" s="13" t="n"/>
    </row>
    <row r="25" ht="15.75" customHeight="1" thickBot="1">
      <c r="B25" s="37" t="n"/>
      <c r="C25" s="14" t="inlineStr">
        <is>
          <t>Hall 300</t>
        </is>
      </c>
      <c r="D25" s="13" t="n">
        <v>73</v>
      </c>
      <c r="J25" s="40" t="inlineStr">
        <is>
          <t>John Knox</t>
        </is>
      </c>
      <c r="K25" s="17" t="inlineStr">
        <is>
          <t>CSL</t>
        </is>
      </c>
      <c r="L25" s="16" t="n">
        <v>2747</v>
      </c>
      <c r="R25" s="39" t="n"/>
      <c r="S25" s="11" t="n"/>
      <c r="T25" s="10">
        <f>SUM(T23:T24)</f>
        <v/>
      </c>
    </row>
    <row r="26">
      <c r="B26" s="37" t="n"/>
      <c r="C26" s="14" t="inlineStr">
        <is>
          <t>Hall 400</t>
        </is>
      </c>
      <c r="D26" s="13" t="n">
        <v>672</v>
      </c>
      <c r="J26" s="37" t="n"/>
      <c r="K26" s="14" t="inlineStr">
        <is>
          <t>MM</t>
        </is>
      </c>
      <c r="L26" s="13" t="n">
        <v>555</v>
      </c>
      <c r="N26" s="36" t="inlineStr">
        <is>
          <t>Daily Total Bags</t>
        </is>
      </c>
      <c r="P26">
        <f>SUM(P8,P10,P14,P21,P24)</f>
        <v/>
      </c>
    </row>
    <row r="27" ht="15.75" customHeight="1" thickBot="1">
      <c r="B27" s="39" t="n"/>
      <c r="C27" s="11" t="n"/>
      <c r="D27" s="29">
        <f>SUM(D23:D26)</f>
        <v/>
      </c>
      <c r="J27" s="37" t="n"/>
      <c r="K27" s="14" t="inlineStr">
        <is>
          <t>ALF</t>
        </is>
      </c>
      <c r="L27" s="13" t="n">
        <v>2306</v>
      </c>
      <c r="R27" s="36" t="inlineStr">
        <is>
          <t>Daily Total Bags</t>
        </is>
      </c>
      <c r="T27">
        <f>SUM(T4,T10,T16,T21,T25)</f>
        <v/>
      </c>
    </row>
    <row r="28" ht="15.75" customHeight="1" thickBot="1">
      <c r="J28" s="37" t="n"/>
      <c r="K28" s="24" t="inlineStr">
        <is>
          <t>ILF 1</t>
        </is>
      </c>
      <c r="L28" s="23" t="n">
        <v>278</v>
      </c>
    </row>
    <row r="29" ht="15.75" customHeight="1" thickBot="1">
      <c r="B29" s="28" t="inlineStr">
        <is>
          <t>Walnut</t>
        </is>
      </c>
      <c r="C29" s="27" t="n"/>
      <c r="D29" s="26" t="n">
        <v>671</v>
      </c>
      <c r="J29" s="37" t="n"/>
      <c r="K29" s="24" t="inlineStr">
        <is>
          <t>ILF 2</t>
        </is>
      </c>
      <c r="L29" s="23" t="n"/>
    </row>
    <row r="30" ht="15.75" customHeight="1" thickBot="1">
      <c r="J30" s="41" t="n"/>
      <c r="K30" s="11" t="n"/>
      <c r="L30" s="10">
        <f>SUM(L25:L29)</f>
        <v/>
      </c>
    </row>
    <row r="31" ht="15" customHeight="1">
      <c r="B31" s="21" t="inlineStr">
        <is>
          <t>Colonial Doniphan</t>
        </is>
      </c>
      <c r="C31" s="17" t="inlineStr">
        <is>
          <t>Upstairs</t>
        </is>
      </c>
      <c r="D31" s="16" t="n">
        <v>425</v>
      </c>
    </row>
    <row r="32" ht="15" customHeight="1">
      <c r="B32" s="37" t="n"/>
      <c r="C32" s="14" t="inlineStr">
        <is>
          <t>Down</t>
        </is>
      </c>
      <c r="D32" s="13" t="n">
        <v>307</v>
      </c>
      <c r="J32" s="36" t="inlineStr">
        <is>
          <t>Daily Total Bags</t>
        </is>
      </c>
      <c r="L32">
        <f>SUM(L4,L10,L15,L21,L23,L30)</f>
        <v/>
      </c>
    </row>
    <row r="33" ht="15" customHeight="1" thickBot="1">
      <c r="B33" s="39" t="n"/>
      <c r="C33" s="11" t="n"/>
      <c r="D33" s="10">
        <f>SUM(D31:D32)</f>
        <v/>
      </c>
    </row>
    <row r="34" ht="15.75" customHeight="1" thickBot="1"/>
    <row r="35" ht="15" customHeight="1">
      <c r="B35" s="18" t="inlineStr">
        <is>
          <t>New Hope</t>
        </is>
      </c>
      <c r="C35" s="17" t="inlineStr">
        <is>
          <t>ALF</t>
        </is>
      </c>
      <c r="D35" s="16" t="n">
        <v>297</v>
      </c>
    </row>
    <row r="36" ht="15.75" customHeight="1">
      <c r="B36" s="37" t="n"/>
      <c r="C36" s="14" t="inlineStr">
        <is>
          <t>ILF</t>
        </is>
      </c>
      <c r="D36" s="13" t="n"/>
    </row>
    <row r="37" ht="15.75" customHeight="1" thickBot="1">
      <c r="B37" s="39" t="n"/>
      <c r="C37" s="11" t="n"/>
      <c r="D37" s="10">
        <f>SUM(D35:D36)</f>
        <v/>
      </c>
    </row>
    <row r="38" ht="15.75" customHeight="1" thickBot="1"/>
    <row r="39" ht="21.75" customHeight="1">
      <c r="B39" s="36" t="inlineStr">
        <is>
          <t>Daily Total Bags</t>
        </is>
      </c>
      <c r="D39">
        <f>SUM(D8,D12,D17,D21,D27,D29,D33,D37)</f>
        <v/>
      </c>
      <c r="J39" s="42" t="inlineStr">
        <is>
          <t>Weekly Bag Count</t>
        </is>
      </c>
      <c r="K39" s="43" t="n"/>
      <c r="L39" s="44">
        <f>SUM(D39,H18,L32,P23,T27)</f>
        <v/>
      </c>
      <c r="M39" s="43" t="n"/>
      <c r="N39" s="43" t="n"/>
      <c r="O39" s="45" t="n"/>
    </row>
    <row r="40" ht="21" customHeight="1" thickBot="1">
      <c r="J40" s="46" t="n"/>
      <c r="K40" s="35" t="n"/>
      <c r="L40" s="35" t="n"/>
      <c r="M40" s="35" t="n"/>
      <c r="N40" s="35" t="n"/>
      <c r="O40" s="47" t="n"/>
    </row>
  </sheetData>
  <mergeCells count="40">
    <mergeCell ref="R12:R16"/>
    <mergeCell ref="F4:F7"/>
    <mergeCell ref="C4:C5"/>
    <mergeCell ref="S14:S15"/>
    <mergeCell ref="O4:O5"/>
    <mergeCell ref="S8:S9"/>
    <mergeCell ref="N16:N21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S6:S7"/>
    <mergeCell ref="L39:O40"/>
    <mergeCell ref="R23:R25"/>
    <mergeCell ref="J17:J21"/>
    <mergeCell ref="B31:B33"/>
    <mergeCell ref="C2:D2"/>
    <mergeCell ref="N4:N8"/>
    <mergeCell ref="F9:F10"/>
    <mergeCell ref="K17:K1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Austin Cheeley</dc:creator>
  <dcterms:created xsi:type="dcterms:W3CDTF">2026-03-25T14:39:17Z</dcterms:created>
  <dcterms:modified xsi:type="dcterms:W3CDTF">2026-04-01T16:21:04Z</dcterms:modified>
  <cp:lastModifiedBy>Austin Cheeley</cp:lastModifiedBy>
</cp:coreProperties>
</file>