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3520" tabRatio="600" firstSheet="0" activeTab="0" autoFilterDateGrouping="1"/>
  </bookViews>
  <sheets>
    <sheet name="Blank Cycle Census" sheetId="1" state="visible" r:id="rId1"/>
    <sheet name="Blank Cycle Bag Count" sheetId="2" state="visible" r:id="rId2"/>
  </sheets>
  <definedNames>
    <definedName name="_xlnm.Print_Area" localSheetId="0">'Blank Cycle Census'!$A$2:$T$37</definedName>
    <definedName name="_xlnm.Print_Area" localSheetId="1">'Blank Cycle Bag Count'!$A$2:$T$37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2" borderId="7" pivotButton="0" quotePrefix="0" xfId="0"/>
    <xf numFmtId="0" fontId="0" fillId="2" borderId="8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" fillId="2" borderId="7" pivotButton="0" quotePrefix="0" xfId="0"/>
    <xf numFmtId="0" fontId="0" fillId="0" borderId="2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0" fillId="0" borderId="19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2" applyAlignment="1" pivotButton="0" quotePrefix="0" xfId="0">
      <alignment horizontal="center" vertical="center"/>
    </xf>
    <xf numFmtId="0" fontId="0" fillId="0" borderId="16" pivotButton="0" quotePrefix="0" xfId="0"/>
    <xf numFmtId="0" fontId="2" fillId="0" borderId="26" applyAlignment="1" pivotButton="0" quotePrefix="0" xfId="0">
      <alignment horizontal="center" wrapText="1"/>
    </xf>
    <xf numFmtId="0" fontId="0" fillId="0" borderId="5" pivotButton="0" quotePrefix="0" xfId="0"/>
    <xf numFmtId="0" fontId="2" fillId="0" borderId="27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T40"/>
  <sheetViews>
    <sheetView tabSelected="1" workbookViewId="0">
      <selection activeCell="Y39" sqref="Y39"/>
    </sheetView>
  </sheetViews>
  <sheetFormatPr baseColWidth="8" defaultRowHeight="15"/>
  <cols>
    <col width="10.85546875" customWidth="1" min="2" max="2"/>
    <col width="2.42578125" customWidth="1" min="5" max="5"/>
    <col width="13.42578125" bestFit="1" customWidth="1" min="6" max="6"/>
    <col width="2.140625" customWidth="1" min="9" max="9"/>
    <col width="11.28515625" customWidth="1" min="10" max="10"/>
    <col width="1.5703125" customWidth="1" min="13" max="13"/>
    <col width="1.7109375" customWidth="1" min="17" max="17"/>
    <col width="11.85546875" customWidth="1" min="18" max="18"/>
  </cols>
  <sheetData>
    <row r="2" ht="15.75" customHeight="1" thickBot="1">
      <c r="B2" s="35" t="inlineStr">
        <is>
          <t>Monday</t>
        </is>
      </c>
      <c r="C2" s="34" t="inlineStr">
        <is>
          <t>03/30</t>
        </is>
      </c>
      <c r="D2" s="35" t="n"/>
      <c r="F2" s="35" t="inlineStr">
        <is>
          <t>Tuesday</t>
        </is>
      </c>
      <c r="G2" s="35" t="inlineStr">
        <is>
          <t>03/31</t>
        </is>
      </c>
      <c r="H2" s="35" t="n"/>
      <c r="J2" s="35" t="inlineStr">
        <is>
          <t>Wednesday</t>
        </is>
      </c>
      <c r="K2" s="34" t="inlineStr">
        <is>
          <t>04/01</t>
        </is>
      </c>
      <c r="L2" s="35" t="n"/>
      <c r="M2" s="36" t="n"/>
      <c r="N2" s="35" t="inlineStr">
        <is>
          <t>Thursday</t>
        </is>
      </c>
      <c r="O2" s="34" t="inlineStr">
        <is>
          <t>04/02</t>
        </is>
      </c>
      <c r="P2" s="35" t="n"/>
      <c r="R2" s="35" t="inlineStr">
        <is>
          <t>Friday</t>
        </is>
      </c>
      <c r="S2" s="34" t="inlineStr">
        <is>
          <t>04/03</t>
        </is>
      </c>
      <c r="T2" s="35" t="n"/>
    </row>
    <row r="3" ht="15.75" customHeight="1" thickBot="1">
      <c r="B3" t="inlineStr">
        <is>
          <t>Facility</t>
        </is>
      </c>
      <c r="C3" t="inlineStr">
        <is>
          <t xml:space="preserve">Batch </t>
        </is>
      </c>
      <c r="D3" t="inlineStr">
        <is>
          <t>Census</t>
        </is>
      </c>
      <c r="F3" t="inlineStr">
        <is>
          <t>Facility</t>
        </is>
      </c>
      <c r="G3" t="inlineStr">
        <is>
          <t xml:space="preserve">Batch </t>
        </is>
      </c>
      <c r="H3" t="inlineStr">
        <is>
          <t>Census</t>
        </is>
      </c>
      <c r="J3" t="inlineStr">
        <is>
          <t>Facility</t>
        </is>
      </c>
      <c r="K3" t="inlineStr">
        <is>
          <t xml:space="preserve">Batch </t>
        </is>
      </c>
      <c r="L3" t="inlineStr">
        <is>
          <t>Census</t>
        </is>
      </c>
      <c r="N3" t="inlineStr">
        <is>
          <t>Facility</t>
        </is>
      </c>
      <c r="O3" t="inlineStr">
        <is>
          <t xml:space="preserve">Batch </t>
        </is>
      </c>
      <c r="P3" t="inlineStr">
        <is>
          <t>Census</t>
        </is>
      </c>
      <c r="R3" t="inlineStr">
        <is>
          <t>Facility</t>
        </is>
      </c>
      <c r="S3" t="inlineStr">
        <is>
          <t xml:space="preserve">Batch </t>
        </is>
      </c>
      <c r="T3" t="inlineStr">
        <is>
          <t>Census</t>
        </is>
      </c>
    </row>
    <row r="4" ht="15.75" customHeight="1" thickBot="1">
      <c r="B4" s="18" t="inlineStr">
        <is>
          <t>MOGC</t>
        </is>
      </c>
      <c r="C4" s="32" t="inlineStr">
        <is>
          <t>1st Floor</t>
        </is>
      </c>
      <c r="D4" s="16" t="n">
        <v>16</v>
      </c>
      <c r="F4" s="18" t="inlineStr">
        <is>
          <t>Westwood</t>
        </is>
      </c>
      <c r="G4" s="17" t="inlineStr">
        <is>
          <t>A Wing</t>
        </is>
      </c>
      <c r="H4" s="16" t="n">
        <v>41</v>
      </c>
      <c r="J4" s="28" t="inlineStr">
        <is>
          <t>Licking RCF</t>
        </is>
      </c>
      <c r="K4" s="27" t="n"/>
      <c r="L4" s="26" t="n"/>
      <c r="N4" s="18" t="inlineStr">
        <is>
          <t>Delta</t>
        </is>
      </c>
      <c r="O4" s="32" t="n">
        <v>1</v>
      </c>
      <c r="P4" s="16" t="n">
        <v>14</v>
      </c>
      <c r="R4" s="28" t="inlineStr">
        <is>
          <t>Colonial</t>
        </is>
      </c>
      <c r="S4" s="27" t="n"/>
      <c r="T4" s="26" t="n"/>
    </row>
    <row r="5" ht="15.75" customHeight="1" thickBot="1">
      <c r="B5" s="37" t="n"/>
      <c r="C5" s="38" t="n"/>
      <c r="D5" s="13" t="n"/>
      <c r="F5" s="37" t="n"/>
      <c r="G5" s="14" t="inlineStr">
        <is>
          <t>B Wing</t>
        </is>
      </c>
      <c r="H5" s="13" t="n">
        <v>25</v>
      </c>
      <c r="N5" s="37" t="n"/>
      <c r="O5" s="38" t="n"/>
      <c r="P5" s="13" t="n"/>
    </row>
    <row r="6">
      <c r="B6" s="37" t="n"/>
      <c r="C6" s="14" t="inlineStr">
        <is>
          <t>2nd Floor</t>
        </is>
      </c>
      <c r="D6" s="13" t="n">
        <v>22</v>
      </c>
      <c r="F6" s="37" t="n"/>
      <c r="G6" s="14" t="inlineStr">
        <is>
          <t>C Wing</t>
        </is>
      </c>
      <c r="H6" s="13" t="n">
        <v>11</v>
      </c>
      <c r="J6" s="18" t="inlineStr">
        <is>
          <t>Salem</t>
        </is>
      </c>
      <c r="K6" s="17" t="n">
        <v>1</v>
      </c>
      <c r="L6" s="16" t="n">
        <v>40</v>
      </c>
      <c r="N6" s="37" t="n"/>
      <c r="O6" s="31" t="n">
        <v>2</v>
      </c>
      <c r="P6" s="13" t="n">
        <v>31</v>
      </c>
      <c r="R6" s="18" t="inlineStr">
        <is>
          <t>Bertrand</t>
        </is>
      </c>
      <c r="S6" s="32" t="n">
        <v>1</v>
      </c>
      <c r="T6" s="16" t="n"/>
    </row>
    <row r="7" ht="15.75" customHeight="1" thickBot="1">
      <c r="B7" s="37" t="n"/>
      <c r="C7" s="14" t="inlineStr">
        <is>
          <t>3rd Floor</t>
        </is>
      </c>
      <c r="D7" s="13" t="n">
        <v>22</v>
      </c>
      <c r="F7" s="39" t="n"/>
      <c r="G7" s="11" t="n"/>
      <c r="H7" s="10">
        <f>SUM(H4:H6)</f>
        <v/>
      </c>
      <c r="J7" s="37" t="n"/>
      <c r="K7" s="14" t="n">
        <v>2</v>
      </c>
      <c r="L7" s="13" t="n"/>
      <c r="N7" s="37" t="n"/>
      <c r="O7" s="38" t="n"/>
      <c r="P7" s="13" t="n"/>
      <c r="R7" s="37" t="n"/>
      <c r="S7" s="38" t="n"/>
      <c r="T7" s="13" t="n"/>
    </row>
    <row r="8" ht="15.75" customHeight="1" thickBot="1">
      <c r="B8" s="39" t="n"/>
      <c r="C8" s="11" t="n"/>
      <c r="D8" s="29">
        <f>SUM(D4:D7)</f>
        <v/>
      </c>
      <c r="J8" s="37" t="n"/>
      <c r="K8" s="14" t="n">
        <v>3</v>
      </c>
      <c r="L8" s="13" t="n"/>
      <c r="N8" s="39" t="n"/>
      <c r="O8" s="11" t="n"/>
      <c r="P8" s="29">
        <f>SUM(P4:P7)</f>
        <v/>
      </c>
      <c r="R8" s="37" t="n"/>
      <c r="S8" s="31" t="n">
        <v>2</v>
      </c>
      <c r="T8" s="13" t="n"/>
    </row>
    <row r="9" ht="15.75" customHeight="1" thickBot="1">
      <c r="F9" s="40" t="inlineStr">
        <is>
          <t>Glenfield</t>
        </is>
      </c>
      <c r="G9" s="17" t="n">
        <v>100</v>
      </c>
      <c r="H9" s="16" t="n">
        <v>6</v>
      </c>
      <c r="J9" s="37" t="n"/>
      <c r="K9" s="33" t="inlineStr">
        <is>
          <t>RCF</t>
        </is>
      </c>
      <c r="L9" s="13" t="n"/>
      <c r="R9" s="37" t="n"/>
      <c r="S9" s="38" t="n"/>
      <c r="T9" s="13" t="n"/>
    </row>
    <row r="10" ht="15.75" customHeight="1" thickBot="1">
      <c r="B10" s="18" t="inlineStr">
        <is>
          <t>McClay</t>
        </is>
      </c>
      <c r="C10" s="17" t="inlineStr">
        <is>
          <t>100 Hall</t>
        </is>
      </c>
      <c r="D10" s="16" t="n">
        <v>48</v>
      </c>
      <c r="F10" s="41" t="n"/>
      <c r="G10" s="11" t="n"/>
      <c r="H10" s="10">
        <f>SUM(H9)</f>
        <v/>
      </c>
      <c r="J10" s="39" t="n"/>
      <c r="K10" s="11" t="n"/>
      <c r="L10" s="29" t="n">
        <v>16</v>
      </c>
      <c r="N10" s="28" t="inlineStr">
        <is>
          <t>Seville</t>
        </is>
      </c>
      <c r="O10" s="27" t="n"/>
      <c r="P10" s="26" t="n">
        <v>41</v>
      </c>
      <c r="R10" s="39" t="n"/>
      <c r="S10" s="11" t="n"/>
      <c r="T10" s="29">
        <f>SUM(T6:T9)</f>
        <v/>
      </c>
    </row>
    <row r="11" ht="15.75" customHeight="1" thickBot="1">
      <c r="B11" s="37" t="n"/>
      <c r="C11" s="14" t="inlineStr">
        <is>
          <t>L Hall</t>
        </is>
      </c>
      <c r="D11" s="13" t="n"/>
    </row>
    <row r="12" ht="15.75" customHeight="1" thickBot="1">
      <c r="B12" s="39" t="n"/>
      <c r="C12" s="11" t="n"/>
      <c r="D12" s="10">
        <f>SUM(D10:D11)</f>
        <v/>
      </c>
      <c r="F12" s="28" t="inlineStr">
        <is>
          <t>Granite House</t>
        </is>
      </c>
      <c r="G12" s="27" t="n"/>
      <c r="H12" s="26" t="n">
        <v>36</v>
      </c>
      <c r="J12" s="18" t="inlineStr">
        <is>
          <t>Baisch SNF</t>
        </is>
      </c>
      <c r="K12" s="17" t="n">
        <v>1</v>
      </c>
      <c r="L12" s="16" t="n">
        <v>33</v>
      </c>
      <c r="N12" s="18" t="inlineStr">
        <is>
          <t xml:space="preserve">St Johns </t>
        </is>
      </c>
      <c r="O12" s="17" t="n">
        <v>1</v>
      </c>
      <c r="P12" s="16" t="n">
        <v>58</v>
      </c>
      <c r="R12" s="18" t="inlineStr">
        <is>
          <t>Oakdale SNF</t>
        </is>
      </c>
      <c r="S12" s="32" t="n">
        <v>1</v>
      </c>
      <c r="T12" s="16" t="n"/>
    </row>
    <row r="13" ht="15.75" customHeight="1" thickBot="1">
      <c r="J13" s="37" t="n"/>
      <c r="K13" s="14" t="n">
        <v>2</v>
      </c>
      <c r="L13" s="13" t="n">
        <v>17</v>
      </c>
      <c r="N13" s="37" t="n"/>
      <c r="O13" s="14" t="n">
        <v>2</v>
      </c>
      <c r="P13" s="13" t="n"/>
      <c r="R13" s="37" t="n"/>
      <c r="S13" s="38" t="n"/>
      <c r="T13" s="13" t="n"/>
    </row>
    <row r="14" ht="15.75" customHeight="1" thickBot="1">
      <c r="B14" s="18" t="inlineStr">
        <is>
          <t xml:space="preserve">Belleview </t>
        </is>
      </c>
      <c r="C14" s="17" t="inlineStr">
        <is>
          <t>Hall A</t>
        </is>
      </c>
      <c r="D14" s="16" t="n">
        <v>34</v>
      </c>
      <c r="F14" s="18" t="inlineStr">
        <is>
          <t>Creve Coeur</t>
        </is>
      </c>
      <c r="G14" s="17" t="n">
        <v>1</v>
      </c>
      <c r="H14" s="16" t="n">
        <v>42</v>
      </c>
      <c r="J14" s="37" t="n"/>
      <c r="K14" s="33" t="inlineStr">
        <is>
          <t>RCF</t>
        </is>
      </c>
      <c r="L14" s="13" t="n">
        <v>15</v>
      </c>
      <c r="N14" s="39" t="n"/>
      <c r="O14" s="11" t="n"/>
      <c r="P14" s="10">
        <f>SUM(P12:P13)</f>
        <v/>
      </c>
      <c r="R14" s="37" t="n"/>
      <c r="S14" s="31" t="n">
        <v>2</v>
      </c>
      <c r="T14" s="13" t="n"/>
    </row>
    <row r="15" ht="15.75" customHeight="1" thickBot="1">
      <c r="B15" s="37" t="n"/>
      <c r="C15" s="14" t="inlineStr">
        <is>
          <t>Hall B</t>
        </is>
      </c>
      <c r="D15" s="13" t="n">
        <v>26</v>
      </c>
      <c r="F15" s="37" t="n"/>
      <c r="G15" s="14" t="n">
        <v>2</v>
      </c>
      <c r="H15" s="13" t="n">
        <v>34</v>
      </c>
      <c r="J15" s="39" t="n"/>
      <c r="K15" s="11" t="n"/>
      <c r="L15" s="10">
        <f>SUM(L12:L14)</f>
        <v/>
      </c>
      <c r="R15" s="37" t="n"/>
      <c r="S15" s="38" t="n"/>
      <c r="T15" s="13" t="n"/>
    </row>
    <row r="16" ht="15.75" customHeight="1" thickBot="1">
      <c r="B16" s="37" t="n"/>
      <c r="C16" s="14" t="inlineStr">
        <is>
          <t>Unit</t>
        </is>
      </c>
      <c r="D16" s="13" t="n">
        <v>20</v>
      </c>
      <c r="F16" s="39" t="n"/>
      <c r="G16" s="11" t="n"/>
      <c r="H16" s="10">
        <f>SUM(H14:H15)</f>
        <v/>
      </c>
      <c r="N16" s="18" t="inlineStr">
        <is>
          <t>U-City</t>
        </is>
      </c>
      <c r="O16" s="17" t="n">
        <v>1</v>
      </c>
      <c r="P16" s="16" t="n">
        <v>79</v>
      </c>
      <c r="R16" s="39" t="n"/>
      <c r="S16" s="11" t="n"/>
      <c r="T16" s="29">
        <f>SUM(T12:T15)</f>
        <v/>
      </c>
    </row>
    <row r="17" ht="15.75" customHeight="1" thickBot="1">
      <c r="B17" s="39" t="n"/>
      <c r="C17" s="11" t="n"/>
      <c r="D17" s="10">
        <f>SUM(D14:D16)</f>
        <v/>
      </c>
      <c r="J17" s="18" t="inlineStr">
        <is>
          <t>Pillars</t>
        </is>
      </c>
      <c r="K17" s="32" t="n">
        <v>1</v>
      </c>
      <c r="L17" s="16" t="n">
        <v>63</v>
      </c>
      <c r="N17" s="37" t="n"/>
      <c r="O17" s="14" t="n">
        <v>2</v>
      </c>
      <c r="P17" s="13" t="n"/>
    </row>
    <row r="18" ht="15.75" customHeight="1" thickBot="1">
      <c r="F18" s="36" t="inlineStr">
        <is>
          <t>Daily Total Census</t>
        </is>
      </c>
      <c r="H18">
        <f>SUM(H7,H10,H12,H16)</f>
        <v/>
      </c>
      <c r="J18" s="37" t="n"/>
      <c r="K18" s="38" t="n"/>
      <c r="L18" s="13" t="n"/>
      <c r="N18" s="37" t="n"/>
      <c r="O18" s="14" t="n">
        <v>3</v>
      </c>
      <c r="P18" s="13" t="n"/>
      <c r="R18" s="18" t="inlineStr">
        <is>
          <t>Oakdale ALF</t>
        </is>
      </c>
      <c r="S18" s="17" t="n">
        <v>1</v>
      </c>
      <c r="T18" s="16" t="n"/>
    </row>
    <row r="19">
      <c r="B19" s="18" t="inlineStr">
        <is>
          <t>Hillside</t>
        </is>
      </c>
      <c r="C19" s="17" t="inlineStr">
        <is>
          <t>Hill 1</t>
        </is>
      </c>
      <c r="D19" s="16" t="n">
        <v>20</v>
      </c>
      <c r="J19" s="37" t="n"/>
      <c r="K19" s="31" t="n">
        <v>2</v>
      </c>
      <c r="L19" s="13" t="n"/>
      <c r="N19" s="37" t="n"/>
      <c r="O19" s="14" t="n">
        <v>4</v>
      </c>
      <c r="P19" s="13" t="n"/>
      <c r="R19" s="37" t="n"/>
      <c r="S19" s="14" t="n">
        <v>2</v>
      </c>
      <c r="T19" s="13" t="n"/>
    </row>
    <row r="20">
      <c r="B20" s="37" t="n"/>
      <c r="C20" s="14" t="inlineStr">
        <is>
          <t>Hill 2</t>
        </is>
      </c>
      <c r="D20" s="13" t="n">
        <v>14</v>
      </c>
      <c r="J20" s="37" t="n"/>
      <c r="K20" s="38" t="n"/>
      <c r="L20" s="13" t="n"/>
      <c r="N20" s="37" t="n"/>
      <c r="O20" s="14" t="n">
        <v>5</v>
      </c>
      <c r="P20" s="13" t="n"/>
      <c r="R20" s="37" t="n"/>
      <c r="S20" s="14" t="n">
        <v>3</v>
      </c>
      <c r="T20" s="13" t="n"/>
    </row>
    <row r="21" ht="15.75" customHeight="1" thickBot="1">
      <c r="B21" s="39" t="n"/>
      <c r="C21" s="11" t="n"/>
      <c r="D21" s="10">
        <f>SUM(D19:D20)</f>
        <v/>
      </c>
      <c r="J21" s="39" t="n"/>
      <c r="K21" s="11" t="n"/>
      <c r="L21" s="29">
        <f>SUM(L17:L20)</f>
        <v/>
      </c>
      <c r="N21" s="39" t="n"/>
      <c r="O21" s="11" t="n"/>
      <c r="P21" s="10">
        <f>SUM(P16:P20)</f>
        <v/>
      </c>
      <c r="R21" s="39" t="n"/>
      <c r="S21" s="11" t="n"/>
      <c r="T21" s="10">
        <f>SUM(T18:T20)</f>
        <v/>
      </c>
    </row>
    <row r="22" ht="15.75" customHeight="1" thickBot="1">
      <c r="P22" t="n">
        <v>44</v>
      </c>
    </row>
    <row r="23" ht="15.75" customHeight="1" thickBot="1">
      <c r="B23" s="21" t="inlineStr">
        <is>
          <t>Superior Manor</t>
        </is>
      </c>
      <c r="C23" s="17" t="inlineStr">
        <is>
          <t>Hall 100</t>
        </is>
      </c>
      <c r="D23" s="16" t="n">
        <v>46</v>
      </c>
      <c r="J23" s="28" t="inlineStr">
        <is>
          <t>Legacy</t>
        </is>
      </c>
      <c r="K23" s="27" t="n"/>
      <c r="L23" s="26" t="n"/>
      <c r="N23" s="36" t="inlineStr">
        <is>
          <t>Daily Total Census</t>
        </is>
      </c>
      <c r="P23">
        <f>SUM(P8,P10,P14,P21)</f>
        <v/>
      </c>
      <c r="R23" s="18" t="inlineStr">
        <is>
          <t>Oakdale RCF</t>
        </is>
      </c>
      <c r="S23" s="17" t="n">
        <v>1</v>
      </c>
      <c r="T23" s="16" t="n"/>
    </row>
    <row r="24" ht="15.75" customHeight="1" thickBot="1">
      <c r="B24" s="37" t="n"/>
      <c r="C24" s="14" t="inlineStr">
        <is>
          <t>Hall 200</t>
        </is>
      </c>
      <c r="D24" s="13" t="n"/>
      <c r="R24" s="37" t="n"/>
      <c r="S24" s="14" t="n">
        <v>2</v>
      </c>
      <c r="T24" s="13" t="n"/>
    </row>
    <row r="25" ht="15.75" customHeight="1" thickBot="1">
      <c r="B25" s="37" t="n"/>
      <c r="C25" s="14" t="inlineStr">
        <is>
          <t>Hall 300</t>
        </is>
      </c>
      <c r="D25" s="13" t="n"/>
      <c r="J25" s="40" t="inlineStr">
        <is>
          <t>John Knox</t>
        </is>
      </c>
      <c r="K25" s="17" t="inlineStr">
        <is>
          <t>CSL</t>
        </is>
      </c>
      <c r="L25" s="16" t="n">
        <v>34</v>
      </c>
      <c r="R25" s="39" t="n"/>
      <c r="S25" s="11" t="n"/>
      <c r="T25" s="10">
        <f>SUM(T23:T24)</f>
        <v/>
      </c>
    </row>
    <row r="26">
      <c r="B26" s="37" t="n"/>
      <c r="C26" s="14" t="inlineStr">
        <is>
          <t>Hall 400</t>
        </is>
      </c>
      <c r="D26" s="13" t="n"/>
      <c r="J26" s="37" t="n"/>
      <c r="K26" s="14" t="inlineStr">
        <is>
          <t>MM</t>
        </is>
      </c>
      <c r="L26" s="13" t="n">
        <v>11</v>
      </c>
    </row>
    <row r="27" ht="15.75" customHeight="1" thickBot="1">
      <c r="B27" s="39" t="n"/>
      <c r="C27" s="11" t="n"/>
      <c r="D27" s="29">
        <f>SUM(D23:D26)</f>
        <v/>
      </c>
      <c r="J27" s="37" t="n"/>
      <c r="K27" s="14" t="inlineStr">
        <is>
          <t>ALF</t>
        </is>
      </c>
      <c r="L27" s="13" t="n">
        <v>24</v>
      </c>
      <c r="R27" s="36" t="inlineStr">
        <is>
          <t>Daily Total Census</t>
        </is>
      </c>
      <c r="T27">
        <f>SUM(T4,T10,T16,T21,T25)</f>
        <v/>
      </c>
    </row>
    <row r="28" ht="15.75" customHeight="1" thickBot="1">
      <c r="J28" s="37" t="n"/>
      <c r="K28" s="24" t="inlineStr">
        <is>
          <t>ILF 1</t>
        </is>
      </c>
      <c r="L28" s="23" t="n">
        <v>2</v>
      </c>
    </row>
    <row r="29" ht="15.75" customHeight="1" thickBot="1">
      <c r="B29" s="28" t="inlineStr">
        <is>
          <t>Walnut</t>
        </is>
      </c>
      <c r="C29" s="27" t="n"/>
      <c r="D29" s="26" t="n">
        <v>19</v>
      </c>
      <c r="J29" s="37" t="n"/>
      <c r="K29" s="24" t="inlineStr">
        <is>
          <t>ILF 2</t>
        </is>
      </c>
      <c r="L29" s="23" t="n"/>
    </row>
    <row r="30" ht="15.75" customHeight="1" thickBot="1">
      <c r="J30" s="41" t="n"/>
      <c r="K30" s="11" t="n"/>
      <c r="L30" s="10">
        <f>SUM(L25:L29)</f>
        <v/>
      </c>
    </row>
    <row r="31" ht="15" customHeight="1">
      <c r="B31" s="21" t="inlineStr">
        <is>
          <t>Colonial Doniphan</t>
        </is>
      </c>
      <c r="C31" s="17" t="inlineStr">
        <is>
          <t>Upstairs</t>
        </is>
      </c>
      <c r="D31" s="16" t="n">
        <v>23</v>
      </c>
    </row>
    <row r="32" ht="15" customHeight="1">
      <c r="B32" s="37" t="n"/>
      <c r="C32" s="14" t="inlineStr">
        <is>
          <t>Down</t>
        </is>
      </c>
      <c r="D32" s="13" t="n"/>
      <c r="J32" s="36" t="inlineStr">
        <is>
          <t>Daily Total Census</t>
        </is>
      </c>
      <c r="L32">
        <f>SUM(L4,L10,L15,L21,L23,L30)</f>
        <v/>
      </c>
    </row>
    <row r="33" ht="15" customHeight="1" thickBot="1">
      <c r="B33" s="39" t="n"/>
      <c r="C33" s="11" t="n"/>
      <c r="D33" s="10">
        <f>SUM(D31:D32)</f>
        <v/>
      </c>
    </row>
    <row r="34" ht="15.75" customHeight="1" thickBot="1"/>
    <row r="35" ht="15" customHeight="1">
      <c r="B35" s="18" t="inlineStr">
        <is>
          <t>New Hope</t>
        </is>
      </c>
      <c r="C35" s="17" t="inlineStr">
        <is>
          <t>ALF</t>
        </is>
      </c>
      <c r="D35" s="16" t="n">
        <v>10</v>
      </c>
    </row>
    <row r="36" ht="15.75" customHeight="1">
      <c r="B36" s="37" t="n"/>
      <c r="C36" s="14" t="inlineStr">
        <is>
          <t>ILF</t>
        </is>
      </c>
      <c r="D36" s="13" t="n"/>
    </row>
    <row r="37" ht="15.75" customHeight="1" thickBot="1">
      <c r="B37" s="39" t="n"/>
      <c r="C37" s="11" t="n"/>
      <c r="D37" s="10">
        <f>SUM(D35:D36)</f>
        <v/>
      </c>
    </row>
    <row r="38" ht="15.75" customHeight="1" thickBot="1"/>
    <row r="39" ht="21.75" customHeight="1">
      <c r="B39" s="36" t="inlineStr">
        <is>
          <t>Daily Total Census</t>
        </is>
      </c>
      <c r="D39">
        <f>SUM(D8,D12,D17,D21,D27,D29,D33,D37)</f>
        <v/>
      </c>
      <c r="J39" s="42" t="inlineStr">
        <is>
          <t>Weekly Census Count</t>
        </is>
      </c>
      <c r="K39" s="43" t="n"/>
      <c r="L39" s="44">
        <f>SUM(D39,H18,L32,P23,T27)</f>
        <v/>
      </c>
      <c r="M39" s="43" t="n"/>
      <c r="N39" s="43" t="n"/>
      <c r="O39" s="45" t="n"/>
    </row>
    <row r="40" ht="21" customHeight="1" thickBot="1">
      <c r="J40" s="46" t="n"/>
      <c r="K40" s="35" t="n"/>
      <c r="L40" s="35" t="n"/>
      <c r="M40" s="35" t="n"/>
      <c r="N40" s="35" t="n"/>
      <c r="O40" s="47" t="n"/>
    </row>
  </sheetData>
  <mergeCells count="41">
    <mergeCell ref="R12:R16"/>
    <mergeCell ref="F4:F7"/>
    <mergeCell ref="C4:C5"/>
    <mergeCell ref="S14:S15"/>
    <mergeCell ref="S8:S9"/>
    <mergeCell ref="N16:N21"/>
    <mergeCell ref="O4:O5"/>
    <mergeCell ref="B39:C39"/>
    <mergeCell ref="F14:F16"/>
    <mergeCell ref="B14:B17"/>
    <mergeCell ref="S2:T2"/>
    <mergeCell ref="B35:B37"/>
    <mergeCell ref="B4:B8"/>
    <mergeCell ref="F18:G18"/>
    <mergeCell ref="B19:B21"/>
    <mergeCell ref="R27:S27"/>
    <mergeCell ref="S6:S7"/>
    <mergeCell ref="N23:O23"/>
    <mergeCell ref="L39:O40"/>
    <mergeCell ref="R23:R25"/>
    <mergeCell ref="J17:J21"/>
    <mergeCell ref="B31:B33"/>
    <mergeCell ref="F9:F10"/>
    <mergeCell ref="K17:K18"/>
    <mergeCell ref="C2:D2"/>
    <mergeCell ref="N4:N8"/>
    <mergeCell ref="K2:L2"/>
    <mergeCell ref="J32:K32"/>
    <mergeCell ref="J39:K40"/>
    <mergeCell ref="J25:J30"/>
    <mergeCell ref="J6:J10"/>
    <mergeCell ref="K19:K20"/>
    <mergeCell ref="R6:R10"/>
    <mergeCell ref="O2:P2"/>
    <mergeCell ref="R18:R21"/>
    <mergeCell ref="N12:N14"/>
    <mergeCell ref="J12:J15"/>
    <mergeCell ref="B10:B12"/>
    <mergeCell ref="S12:S13"/>
    <mergeCell ref="O6:O7"/>
    <mergeCell ref="B23:B27"/>
  </mergeCells>
  <pageMargins left="0.25" right="0.25" top="0.5" bottom="0.5" header="0.3" footer="0.3"/>
  <pageSetup orientation="landscape" scale="81" copies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T40"/>
  <sheetViews>
    <sheetView workbookViewId="0">
      <selection activeCell="R27" sqref="R27:S27"/>
    </sheetView>
  </sheetViews>
  <sheetFormatPr baseColWidth="8" defaultRowHeight="15"/>
  <cols>
    <col width="10.85546875" customWidth="1" min="2" max="2"/>
    <col width="2.42578125" customWidth="1" min="5" max="5"/>
    <col width="13.42578125" bestFit="1" customWidth="1" min="6" max="6"/>
    <col width="2.140625" customWidth="1" min="9" max="9"/>
    <col width="11.28515625" customWidth="1" min="10" max="10"/>
    <col width="1.5703125" customWidth="1" min="13" max="13"/>
    <col width="1.7109375" customWidth="1" min="17" max="17"/>
    <col width="11.85546875" customWidth="1" min="18" max="18"/>
  </cols>
  <sheetData>
    <row r="2" ht="15.75" customHeight="1" thickBot="1">
      <c r="B2" s="35" t="inlineStr">
        <is>
          <t>Monday</t>
        </is>
      </c>
      <c r="C2" s="34" t="inlineStr">
        <is>
          <t>03/30</t>
        </is>
      </c>
      <c r="D2" s="35" t="n"/>
      <c r="F2" s="35" t="inlineStr">
        <is>
          <t>Tuesday</t>
        </is>
      </c>
      <c r="G2" s="35" t="inlineStr">
        <is>
          <t>03/31</t>
        </is>
      </c>
      <c r="H2" s="35" t="n"/>
      <c r="J2" s="35" t="inlineStr">
        <is>
          <t>Wednesday</t>
        </is>
      </c>
      <c r="K2" s="34" t="inlineStr">
        <is>
          <t>04/01</t>
        </is>
      </c>
      <c r="L2" s="35" t="n"/>
      <c r="M2" s="36" t="n"/>
      <c r="N2" s="35" t="inlineStr">
        <is>
          <t>Thursday</t>
        </is>
      </c>
      <c r="O2" s="34" t="inlineStr">
        <is>
          <t>04/02</t>
        </is>
      </c>
      <c r="P2" s="35" t="n"/>
      <c r="R2" s="35" t="inlineStr">
        <is>
          <t>Friday</t>
        </is>
      </c>
      <c r="S2" s="34" t="inlineStr">
        <is>
          <t>04/03</t>
        </is>
      </c>
      <c r="T2" s="35" t="n"/>
    </row>
    <row r="3" ht="15.75" customHeight="1" thickBot="1">
      <c r="B3" t="inlineStr">
        <is>
          <t>Facility</t>
        </is>
      </c>
      <c r="C3" t="inlineStr">
        <is>
          <t xml:space="preserve">Batch </t>
        </is>
      </c>
      <c r="D3" t="inlineStr">
        <is>
          <t>Bag Total</t>
        </is>
      </c>
      <c r="F3" t="inlineStr">
        <is>
          <t>Facility</t>
        </is>
      </c>
      <c r="G3" t="inlineStr">
        <is>
          <t xml:space="preserve">Batch </t>
        </is>
      </c>
      <c r="H3" t="inlineStr">
        <is>
          <t>Bag Total</t>
        </is>
      </c>
      <c r="J3" t="inlineStr">
        <is>
          <t>Facility</t>
        </is>
      </c>
      <c r="K3" t="inlineStr">
        <is>
          <t xml:space="preserve">Batch </t>
        </is>
      </c>
      <c r="L3" t="inlineStr">
        <is>
          <t>Bag Total</t>
        </is>
      </c>
      <c r="N3" t="inlineStr">
        <is>
          <t>Facility</t>
        </is>
      </c>
      <c r="O3" t="inlineStr">
        <is>
          <t xml:space="preserve">Batch </t>
        </is>
      </c>
      <c r="P3" t="inlineStr">
        <is>
          <t>Bag Total</t>
        </is>
      </c>
      <c r="R3" t="inlineStr">
        <is>
          <t>Facility</t>
        </is>
      </c>
      <c r="S3" t="inlineStr">
        <is>
          <t xml:space="preserve">Batch </t>
        </is>
      </c>
      <c r="T3" t="inlineStr">
        <is>
          <t>Bag Total</t>
        </is>
      </c>
    </row>
    <row r="4" ht="15.75" customHeight="1" thickBot="1">
      <c r="B4" s="18" t="inlineStr">
        <is>
          <t>MOGC</t>
        </is>
      </c>
      <c r="C4" s="32" t="inlineStr">
        <is>
          <t>1st Floor</t>
        </is>
      </c>
      <c r="D4" s="16" t="n">
        <v>711</v>
      </c>
      <c r="F4" s="18" t="inlineStr">
        <is>
          <t>Westwood</t>
        </is>
      </c>
      <c r="G4" s="17" t="inlineStr">
        <is>
          <t>A Wing</t>
        </is>
      </c>
      <c r="H4" s="16" t="n">
        <v>1334</v>
      </c>
      <c r="J4" s="28" t="inlineStr">
        <is>
          <t>Licking RCF</t>
        </is>
      </c>
      <c r="K4" s="27" t="n"/>
      <c r="L4" s="26" t="n"/>
      <c r="N4" s="18" t="inlineStr">
        <is>
          <t>Delta</t>
        </is>
      </c>
      <c r="O4" s="32" t="n">
        <v>1</v>
      </c>
      <c r="P4" s="16" t="n"/>
      <c r="R4" s="28" t="inlineStr">
        <is>
          <t>Colonial</t>
        </is>
      </c>
      <c r="S4" s="27" t="n"/>
      <c r="T4" s="26" t="n"/>
    </row>
    <row r="5" ht="15.75" customHeight="1" thickBot="1">
      <c r="B5" s="37" t="n"/>
      <c r="C5" s="38" t="n"/>
      <c r="D5" s="13" t="n"/>
      <c r="F5" s="37" t="n"/>
      <c r="G5" s="14" t="inlineStr">
        <is>
          <t>B Wing</t>
        </is>
      </c>
      <c r="H5" s="13" t="n">
        <v>736</v>
      </c>
      <c r="N5" s="37" t="n"/>
      <c r="O5" s="38" t="n"/>
      <c r="P5" s="13" t="n"/>
    </row>
    <row r="6">
      <c r="B6" s="37" t="n"/>
      <c r="C6" s="14" t="inlineStr">
        <is>
          <t>2nd Floor</t>
        </is>
      </c>
      <c r="D6" s="13" t="n">
        <v>916</v>
      </c>
      <c r="F6" s="37" t="n"/>
      <c r="G6" s="14" t="inlineStr">
        <is>
          <t>C Wing</t>
        </is>
      </c>
      <c r="H6" s="13" t="n">
        <v>266</v>
      </c>
      <c r="J6" s="18" t="inlineStr">
        <is>
          <t>Salem</t>
        </is>
      </c>
      <c r="K6" s="17" t="n">
        <v>1</v>
      </c>
      <c r="L6" s="16" t="n">
        <v>422</v>
      </c>
      <c r="N6" s="37" t="n"/>
      <c r="O6" s="31" t="n">
        <v>2</v>
      </c>
      <c r="P6" s="13" t="n"/>
      <c r="R6" s="18" t="inlineStr">
        <is>
          <t>Bertrand</t>
        </is>
      </c>
      <c r="S6" s="32" t="n">
        <v>1</v>
      </c>
      <c r="T6" s="16" t="n"/>
    </row>
    <row r="7" ht="15.75" customHeight="1" thickBot="1">
      <c r="B7" s="37" t="n"/>
      <c r="C7" s="14" t="inlineStr">
        <is>
          <t>3rd Floor</t>
        </is>
      </c>
      <c r="D7" s="13" t="n">
        <v>696</v>
      </c>
      <c r="F7" s="39" t="n"/>
      <c r="G7" s="11" t="n"/>
      <c r="H7" s="10">
        <f>SUM(H4:H6)</f>
        <v/>
      </c>
      <c r="J7" s="37" t="n"/>
      <c r="K7" s="14" t="n">
        <v>2</v>
      </c>
      <c r="L7" s="13" t="n">
        <v>541</v>
      </c>
      <c r="N7" s="37" t="n"/>
      <c r="O7" s="38" t="n"/>
      <c r="P7" s="13" t="n"/>
      <c r="R7" s="37" t="n"/>
      <c r="S7" s="38" t="n"/>
      <c r="T7" s="13" t="n"/>
    </row>
    <row r="8" ht="15.75" customHeight="1" thickBot="1">
      <c r="B8" s="39" t="n"/>
      <c r="C8" s="11" t="n"/>
      <c r="D8" s="29">
        <f>SUM(D4:D7)</f>
        <v/>
      </c>
      <c r="J8" s="37" t="n"/>
      <c r="K8" s="14" t="n">
        <v>3</v>
      </c>
      <c r="L8" s="13" t="n">
        <v>716</v>
      </c>
      <c r="N8" s="39" t="n"/>
      <c r="O8" s="11" t="n"/>
      <c r="P8" s="29">
        <f>SUM(P4:P7)</f>
        <v/>
      </c>
      <c r="R8" s="37" t="n"/>
      <c r="S8" s="31" t="n">
        <v>2</v>
      </c>
      <c r="T8" s="13" t="n"/>
    </row>
    <row r="9" ht="15.75" customHeight="1" thickBot="1">
      <c r="F9" s="40" t="inlineStr">
        <is>
          <t>Glenfield</t>
        </is>
      </c>
      <c r="G9" s="17" t="n">
        <v>100</v>
      </c>
      <c r="H9" s="16" t="n">
        <v>184</v>
      </c>
      <c r="J9" s="37" t="n"/>
      <c r="K9" s="33" t="inlineStr">
        <is>
          <t>RCF</t>
        </is>
      </c>
      <c r="L9" s="13" t="n"/>
      <c r="R9" s="37" t="n"/>
      <c r="S9" s="38" t="n"/>
      <c r="T9" s="13" t="n"/>
    </row>
    <row r="10" ht="15.75" customHeight="1" thickBot="1">
      <c r="B10" s="18" t="inlineStr">
        <is>
          <t>McClay</t>
        </is>
      </c>
      <c r="C10" s="17" t="inlineStr">
        <is>
          <t>100 Hall</t>
        </is>
      </c>
      <c r="D10" s="16" t="n">
        <v>1420</v>
      </c>
      <c r="F10" s="41" t="n"/>
      <c r="G10" s="11" t="n"/>
      <c r="H10" s="10">
        <f>SUM(H9)</f>
        <v/>
      </c>
      <c r="J10" s="39" t="n"/>
      <c r="K10" s="11" t="n"/>
      <c r="L10" s="29" t="n">
        <v>503</v>
      </c>
      <c r="N10" s="28" t="inlineStr">
        <is>
          <t>Seville</t>
        </is>
      </c>
      <c r="O10" s="27" t="n"/>
      <c r="P10" s="26" t="n"/>
      <c r="R10" s="39" t="n"/>
      <c r="S10" s="11" t="n"/>
      <c r="T10" s="29">
        <f>SUM(T6:T9)</f>
        <v/>
      </c>
    </row>
    <row r="11" ht="15.75" customHeight="1" thickBot="1">
      <c r="B11" s="37" t="n"/>
      <c r="C11" s="14" t="inlineStr">
        <is>
          <t>L Hall</t>
        </is>
      </c>
      <c r="D11" s="13" t="n">
        <v>236</v>
      </c>
    </row>
    <row r="12" ht="15.75" customHeight="1" thickBot="1">
      <c r="B12" s="39" t="n"/>
      <c r="C12" s="11" t="n"/>
      <c r="D12" s="10">
        <f>SUM(D10:D11)</f>
        <v/>
      </c>
      <c r="F12" s="28" t="inlineStr">
        <is>
          <t>Granite House</t>
        </is>
      </c>
      <c r="G12" s="27" t="n"/>
      <c r="H12" s="26" t="n">
        <v>1718</v>
      </c>
      <c r="J12" s="18" t="inlineStr">
        <is>
          <t>Baisch SNF</t>
        </is>
      </c>
      <c r="K12" s="17" t="n">
        <v>1</v>
      </c>
      <c r="L12" s="16" t="n">
        <v>979</v>
      </c>
      <c r="N12" s="18" t="inlineStr">
        <is>
          <t xml:space="preserve">St Johns </t>
        </is>
      </c>
      <c r="O12" s="17" t="n">
        <v>1</v>
      </c>
      <c r="P12" s="16" t="n"/>
      <c r="R12" s="18" t="inlineStr">
        <is>
          <t>Oakdale SNF</t>
        </is>
      </c>
      <c r="S12" s="32" t="n">
        <v>1</v>
      </c>
      <c r="T12" s="16" t="n"/>
    </row>
    <row r="13" ht="15.75" customHeight="1" thickBot="1">
      <c r="J13" s="37" t="n"/>
      <c r="K13" s="14" t="n">
        <v>2</v>
      </c>
      <c r="L13" s="13" t="n">
        <v>592</v>
      </c>
      <c r="N13" s="37" t="n"/>
      <c r="O13" s="14" t="n">
        <v>2</v>
      </c>
      <c r="P13" s="13" t="n"/>
      <c r="R13" s="37" t="n"/>
      <c r="S13" s="38" t="n"/>
      <c r="T13" s="13" t="n"/>
    </row>
    <row r="14" ht="15.75" customHeight="1" thickBot="1">
      <c r="B14" s="18" t="inlineStr">
        <is>
          <t xml:space="preserve">Belleview </t>
        </is>
      </c>
      <c r="C14" s="17" t="inlineStr">
        <is>
          <t>Hall A</t>
        </is>
      </c>
      <c r="D14" s="16" t="n">
        <v>1138</v>
      </c>
      <c r="F14" s="18" t="inlineStr">
        <is>
          <t>Creve Coeur</t>
        </is>
      </c>
      <c r="G14" s="17" t="n">
        <v>1</v>
      </c>
      <c r="H14" s="16" t="n">
        <v>1359</v>
      </c>
      <c r="J14" s="37" t="n"/>
      <c r="K14" s="33" t="inlineStr">
        <is>
          <t>RCF</t>
        </is>
      </c>
      <c r="L14" s="13" t="n">
        <v>462</v>
      </c>
      <c r="N14" s="39" t="n"/>
      <c r="O14" s="11" t="n"/>
      <c r="P14" s="10">
        <f>SUM(P12:P13)</f>
        <v/>
      </c>
      <c r="R14" s="37" t="n"/>
      <c r="S14" s="31" t="n">
        <v>2</v>
      </c>
      <c r="T14" s="13" t="n"/>
    </row>
    <row r="15" ht="15.75" customHeight="1" thickBot="1">
      <c r="B15" s="37" t="n"/>
      <c r="C15" s="14" t="inlineStr">
        <is>
          <t>Hall B</t>
        </is>
      </c>
      <c r="D15" s="13" t="n">
        <v>960</v>
      </c>
      <c r="F15" s="37" t="n"/>
      <c r="G15" s="14" t="n">
        <v>2</v>
      </c>
      <c r="H15" s="13" t="n">
        <v>1174</v>
      </c>
      <c r="J15" s="39" t="n"/>
      <c r="K15" s="11" t="n"/>
      <c r="L15" s="10">
        <f>SUM(L12:L14)</f>
        <v/>
      </c>
      <c r="R15" s="37" t="n"/>
      <c r="S15" s="38" t="n"/>
      <c r="T15" s="13" t="n"/>
    </row>
    <row r="16" ht="15.75" customHeight="1" thickBot="1">
      <c r="B16" s="37" t="n"/>
      <c r="C16" s="14" t="inlineStr">
        <is>
          <t>Unit</t>
        </is>
      </c>
      <c r="D16" s="13" t="n">
        <v>756</v>
      </c>
      <c r="F16" s="39" t="n"/>
      <c r="G16" s="11" t="n"/>
      <c r="H16" s="10">
        <f>SUM(H14:H15)</f>
        <v/>
      </c>
      <c r="N16" s="18" t="inlineStr">
        <is>
          <t>U-City</t>
        </is>
      </c>
      <c r="O16" s="17" t="n">
        <v>1</v>
      </c>
      <c r="P16" s="16" t="n"/>
      <c r="R16" s="39" t="n"/>
      <c r="S16" s="11" t="n"/>
      <c r="T16" s="29">
        <f>SUM(T12:T15)</f>
        <v/>
      </c>
    </row>
    <row r="17" ht="15.75" customHeight="1" thickBot="1">
      <c r="B17" s="39" t="n"/>
      <c r="C17" s="11" t="n"/>
      <c r="D17" s="10">
        <f>SUM(D14:D16)</f>
        <v/>
      </c>
      <c r="J17" s="18" t="inlineStr">
        <is>
          <t>Pillars</t>
        </is>
      </c>
      <c r="K17" s="32" t="n">
        <v>1</v>
      </c>
      <c r="L17" s="16" t="n">
        <v>725</v>
      </c>
      <c r="N17" s="37" t="n"/>
      <c r="O17" s="14" t="n">
        <v>2</v>
      </c>
      <c r="P17" s="13" t="n"/>
    </row>
    <row r="18" ht="15.75" customHeight="1" thickBot="1">
      <c r="F18" s="36" t="inlineStr">
        <is>
          <t>Daily Total Bags</t>
        </is>
      </c>
      <c r="H18">
        <f>SUM(H7,H10,H12,H16)</f>
        <v/>
      </c>
      <c r="J18" s="37" t="n"/>
      <c r="K18" s="38" t="n"/>
      <c r="L18" s="13" t="n"/>
      <c r="N18" s="37" t="n"/>
      <c r="O18" s="14" t="n">
        <v>3</v>
      </c>
      <c r="P18" s="13" t="n"/>
      <c r="R18" s="18" t="inlineStr">
        <is>
          <t>Oakdale ALF</t>
        </is>
      </c>
      <c r="S18" s="17" t="n">
        <v>1</v>
      </c>
      <c r="T18" s="16" t="n"/>
    </row>
    <row r="19">
      <c r="B19" s="18" t="inlineStr">
        <is>
          <t>Hillside</t>
        </is>
      </c>
      <c r="C19" s="17" t="inlineStr">
        <is>
          <t>Hill 1</t>
        </is>
      </c>
      <c r="D19" s="16" t="n">
        <v>837</v>
      </c>
      <c r="J19" s="37" t="n"/>
      <c r="K19" s="31" t="n">
        <v>2</v>
      </c>
      <c r="L19" s="13" t="n">
        <v>686</v>
      </c>
      <c r="N19" s="37" t="n"/>
      <c r="O19" s="14" t="n">
        <v>4</v>
      </c>
      <c r="P19" s="13" t="n"/>
      <c r="R19" s="37" t="n"/>
      <c r="S19" s="14" t="n">
        <v>2</v>
      </c>
      <c r="T19" s="13" t="n"/>
    </row>
    <row r="20">
      <c r="B20" s="37" t="n"/>
      <c r="C20" s="14" t="inlineStr">
        <is>
          <t>Hill 2</t>
        </is>
      </c>
      <c r="D20" s="13" t="n">
        <v>618</v>
      </c>
      <c r="J20" s="37" t="n"/>
      <c r="K20" s="38" t="n"/>
      <c r="L20" s="13" t="n"/>
      <c r="N20" s="37" t="n"/>
      <c r="O20" s="14" t="n">
        <v>5</v>
      </c>
      <c r="P20" s="13" t="n"/>
      <c r="R20" s="37" t="n"/>
      <c r="S20" s="14" t="n">
        <v>3</v>
      </c>
      <c r="T20" s="13" t="n"/>
    </row>
    <row r="21" ht="15.75" customHeight="1" thickBot="1">
      <c r="B21" s="39" t="n"/>
      <c r="C21" s="11" t="n"/>
      <c r="D21" s="10">
        <f>SUM(D19:D20)</f>
        <v/>
      </c>
      <c r="J21" s="39" t="n"/>
      <c r="K21" s="11" t="n"/>
      <c r="L21" s="29">
        <f>SUM(L17:L20)</f>
        <v/>
      </c>
      <c r="N21" s="39" t="n"/>
      <c r="O21" s="11" t="n"/>
      <c r="P21" s="10">
        <f>SUM(P16:P20)</f>
        <v/>
      </c>
      <c r="R21" s="39" t="n"/>
      <c r="S21" s="11" t="n"/>
      <c r="T21" s="10">
        <f>SUM(T18:T20)</f>
        <v/>
      </c>
    </row>
    <row r="22" ht="15.75" customHeight="1" thickBot="1"/>
    <row r="23" ht="15.75" customHeight="1" thickBot="1">
      <c r="B23" s="21" t="inlineStr">
        <is>
          <t>Superior Manor</t>
        </is>
      </c>
      <c r="C23" s="17" t="inlineStr">
        <is>
          <t>Hall 100</t>
        </is>
      </c>
      <c r="D23" s="16" t="n">
        <v>582</v>
      </c>
      <c r="J23" s="28" t="inlineStr">
        <is>
          <t>Legacy</t>
        </is>
      </c>
      <c r="K23" s="27" t="n"/>
      <c r="L23" s="26" t="n"/>
      <c r="N23" s="36" t="inlineStr">
        <is>
          <t>Daily Total Bags</t>
        </is>
      </c>
      <c r="P23">
        <f>SUM(P8,P10,P14,P21)</f>
        <v/>
      </c>
      <c r="R23" s="18" t="inlineStr">
        <is>
          <t>Oakdale RCF</t>
        </is>
      </c>
      <c r="S23" s="17" t="n">
        <v>1</v>
      </c>
      <c r="T23" s="16" t="n"/>
    </row>
    <row r="24" ht="15.75" customHeight="1" thickBot="1">
      <c r="B24" s="37" t="n"/>
      <c r="C24" s="14" t="inlineStr">
        <is>
          <t>Hall 200</t>
        </is>
      </c>
      <c r="D24" s="13" t="n">
        <v>208</v>
      </c>
      <c r="R24" s="37" t="n"/>
      <c r="S24" s="14" t="n">
        <v>2</v>
      </c>
      <c r="T24" s="13" t="n"/>
    </row>
    <row r="25" ht="15.75" customHeight="1" thickBot="1">
      <c r="B25" s="37" t="n"/>
      <c r="C25" s="14" t="inlineStr">
        <is>
          <t>Hall 300</t>
        </is>
      </c>
      <c r="D25" s="13" t="n">
        <v>73</v>
      </c>
      <c r="J25" s="40" t="inlineStr">
        <is>
          <t>John Knox</t>
        </is>
      </c>
      <c r="K25" s="17" t="inlineStr">
        <is>
          <t>CSL</t>
        </is>
      </c>
      <c r="L25" s="16" t="n">
        <v>2747</v>
      </c>
      <c r="R25" s="39" t="n"/>
      <c r="S25" s="11" t="n"/>
      <c r="T25" s="10">
        <f>SUM(T23:T24)</f>
        <v/>
      </c>
    </row>
    <row r="26">
      <c r="B26" s="37" t="n"/>
      <c r="C26" s="14" t="inlineStr">
        <is>
          <t>Hall 400</t>
        </is>
      </c>
      <c r="D26" s="13" t="n">
        <v>672</v>
      </c>
      <c r="J26" s="37" t="n"/>
      <c r="K26" s="14" t="inlineStr">
        <is>
          <t>MM</t>
        </is>
      </c>
      <c r="L26" s="13" t="n">
        <v>555</v>
      </c>
    </row>
    <row r="27" ht="15.75" customHeight="1" thickBot="1">
      <c r="B27" s="39" t="n"/>
      <c r="C27" s="11" t="n"/>
      <c r="D27" s="29">
        <f>SUM(D23:D26)</f>
        <v/>
      </c>
      <c r="J27" s="37" t="n"/>
      <c r="K27" s="14" t="inlineStr">
        <is>
          <t>ALF</t>
        </is>
      </c>
      <c r="L27" s="13" t="n">
        <v>2306</v>
      </c>
      <c r="R27" s="36" t="inlineStr">
        <is>
          <t>Daily Total Bags</t>
        </is>
      </c>
      <c r="T27">
        <f>SUM(T4,T10,T16,T21,T25)</f>
        <v/>
      </c>
    </row>
    <row r="28" ht="15.75" customHeight="1" thickBot="1">
      <c r="J28" s="37" t="n"/>
      <c r="K28" s="24" t="inlineStr">
        <is>
          <t>ILF 1</t>
        </is>
      </c>
      <c r="L28" s="23" t="n">
        <v>278</v>
      </c>
    </row>
    <row r="29" ht="15.75" customHeight="1" thickBot="1">
      <c r="B29" s="28" t="inlineStr">
        <is>
          <t>Walnut</t>
        </is>
      </c>
      <c r="C29" s="27" t="n"/>
      <c r="D29" s="26" t="n">
        <v>671</v>
      </c>
      <c r="J29" s="37" t="n"/>
      <c r="K29" s="24" t="inlineStr">
        <is>
          <t>ILF 2</t>
        </is>
      </c>
      <c r="L29" s="23" t="n"/>
    </row>
    <row r="30" ht="15.75" customHeight="1" thickBot="1">
      <c r="J30" s="41" t="n"/>
      <c r="K30" s="11" t="n"/>
      <c r="L30" s="10">
        <f>SUM(L25:L29)</f>
        <v/>
      </c>
    </row>
    <row r="31" ht="15" customHeight="1">
      <c r="B31" s="21" t="inlineStr">
        <is>
          <t>Colonial Doniphan</t>
        </is>
      </c>
      <c r="C31" s="17" t="inlineStr">
        <is>
          <t>Upstairs</t>
        </is>
      </c>
      <c r="D31" s="16" t="n">
        <v>425</v>
      </c>
    </row>
    <row r="32" ht="15" customHeight="1">
      <c r="B32" s="37" t="n"/>
      <c r="C32" s="14" t="inlineStr">
        <is>
          <t>Down</t>
        </is>
      </c>
      <c r="D32" s="13" t="n">
        <v>307</v>
      </c>
      <c r="J32" s="36" t="inlineStr">
        <is>
          <t>Daily Total Bags</t>
        </is>
      </c>
      <c r="L32">
        <f>SUM(L4,L10,L15,L21,L23,L30)</f>
        <v/>
      </c>
    </row>
    <row r="33" ht="15" customHeight="1" thickBot="1">
      <c r="B33" s="39" t="n"/>
      <c r="C33" s="11" t="n"/>
      <c r="D33" s="10">
        <f>SUM(D31:D32)</f>
        <v/>
      </c>
    </row>
    <row r="34" ht="15.75" customHeight="1" thickBot="1"/>
    <row r="35" ht="15" customHeight="1">
      <c r="B35" s="18" t="inlineStr">
        <is>
          <t>New Hope</t>
        </is>
      </c>
      <c r="C35" s="17" t="inlineStr">
        <is>
          <t>ALF</t>
        </is>
      </c>
      <c r="D35" s="16" t="n">
        <v>297</v>
      </c>
    </row>
    <row r="36" ht="15.75" customHeight="1">
      <c r="B36" s="37" t="n"/>
      <c r="C36" s="14" t="inlineStr">
        <is>
          <t>ILF</t>
        </is>
      </c>
      <c r="D36" s="13" t="n"/>
    </row>
    <row r="37" ht="15.75" customHeight="1" thickBot="1">
      <c r="B37" s="39" t="n"/>
      <c r="C37" s="11" t="n"/>
      <c r="D37" s="10">
        <f>SUM(D35:D36)</f>
        <v/>
      </c>
    </row>
    <row r="38" ht="15.75" customHeight="1" thickBot="1"/>
    <row r="39" ht="21.75" customHeight="1">
      <c r="B39" s="36" t="inlineStr">
        <is>
          <t>Daily Total Bags</t>
        </is>
      </c>
      <c r="D39">
        <f>SUM(D8,D12,D17,D21,D27,D29,D33,D37)</f>
        <v/>
      </c>
      <c r="J39" s="42" t="inlineStr">
        <is>
          <t>Weekly Bag Count</t>
        </is>
      </c>
      <c r="K39" s="43" t="n"/>
      <c r="L39" s="44">
        <f>SUM(D39,H18,L32,P23,T27)</f>
        <v/>
      </c>
      <c r="M39" s="43" t="n"/>
      <c r="N39" s="43" t="n"/>
      <c r="O39" s="45" t="n"/>
    </row>
    <row r="40" ht="21" customHeight="1" thickBot="1">
      <c r="J40" s="46" t="n"/>
      <c r="K40" s="35" t="n"/>
      <c r="L40" s="35" t="n"/>
      <c r="M40" s="35" t="n"/>
      <c r="N40" s="35" t="n"/>
      <c r="O40" s="47" t="n"/>
    </row>
  </sheetData>
  <mergeCells count="41">
    <mergeCell ref="R12:R16"/>
    <mergeCell ref="F4:F7"/>
    <mergeCell ref="C4:C5"/>
    <mergeCell ref="S14:S15"/>
    <mergeCell ref="O4:O5"/>
    <mergeCell ref="S8:S9"/>
    <mergeCell ref="N16:N21"/>
    <mergeCell ref="B39:C39"/>
    <mergeCell ref="F14:F16"/>
    <mergeCell ref="B14:B17"/>
    <mergeCell ref="S2:T2"/>
    <mergeCell ref="B35:B37"/>
    <mergeCell ref="B4:B8"/>
    <mergeCell ref="F18:G18"/>
    <mergeCell ref="B19:B21"/>
    <mergeCell ref="R27:S27"/>
    <mergeCell ref="N23:O23"/>
    <mergeCell ref="S6:S7"/>
    <mergeCell ref="L39:O40"/>
    <mergeCell ref="R23:R25"/>
    <mergeCell ref="J17:J21"/>
    <mergeCell ref="B31:B33"/>
    <mergeCell ref="C2:D2"/>
    <mergeCell ref="N4:N8"/>
    <mergeCell ref="F9:F10"/>
    <mergeCell ref="K17:K18"/>
    <mergeCell ref="K2:L2"/>
    <mergeCell ref="J32:K32"/>
    <mergeCell ref="J39:K40"/>
    <mergeCell ref="J25:J30"/>
    <mergeCell ref="J6:J10"/>
    <mergeCell ref="K19:K20"/>
    <mergeCell ref="R6:R10"/>
    <mergeCell ref="O2:P2"/>
    <mergeCell ref="R18:R21"/>
    <mergeCell ref="N12:N14"/>
    <mergeCell ref="J12:J15"/>
    <mergeCell ref="B10:B12"/>
    <mergeCell ref="S12:S13"/>
    <mergeCell ref="O6:O7"/>
    <mergeCell ref="B23:B27"/>
  </mergeCells>
  <pageMargins left="0.25" right="0.25" top="0.5" bottom="0.5" header="0.3" footer="0.3"/>
  <pageSetup orientation="landscape" scale="81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Austin Cheeley</dc:creator>
  <dcterms:created xsi:type="dcterms:W3CDTF">2026-03-25T14:39:17Z</dcterms:created>
  <dcterms:modified xsi:type="dcterms:W3CDTF">2026-04-01T16:02:06Z</dcterms:modified>
  <cp:lastModifiedBy>Austin Cheeley</cp:lastModifiedBy>
</cp:coreProperties>
</file>